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kant\Downloads\"/>
    </mc:Choice>
  </mc:AlternateContent>
  <xr:revisionPtr revIDLastSave="0" documentId="13_ncr:1_{3C93C516-B8F4-4901-823F-169B28E696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rade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J9" i="1"/>
  <c r="J8" i="1"/>
  <c r="I8" i="1"/>
  <c r="H8" i="1"/>
  <c r="J7" i="1"/>
  <c r="I7" i="1"/>
  <c r="H7" i="1"/>
  <c r="J6" i="1"/>
  <c r="I6" i="1"/>
  <c r="H6" i="1"/>
  <c r="J5" i="1"/>
  <c r="I5" i="1"/>
  <c r="H5" i="1"/>
  <c r="J4" i="1"/>
  <c r="I4" i="1"/>
  <c r="H4" i="1"/>
  <c r="J3" i="1"/>
  <c r="I3" i="1"/>
  <c r="H3" i="1"/>
  <c r="J2" i="1"/>
  <c r="I2" i="1"/>
  <c r="H2" i="1"/>
</calcChain>
</file>

<file path=xl/sharedStrings.xml><?xml version="1.0" encoding="utf-8"?>
<sst xmlns="http://schemas.openxmlformats.org/spreadsheetml/2006/main" count="33" uniqueCount="27">
  <si>
    <t>Trade Date/Time</t>
  </si>
  <si>
    <t>Trade #</t>
  </si>
  <si>
    <t>Buy/Sell</t>
  </si>
  <si>
    <t>Entry Price</t>
  </si>
  <si>
    <t>Stop Loss</t>
  </si>
  <si>
    <t>Trailing Profit (Suggested)</t>
  </si>
  <si>
    <t>Net Points</t>
  </si>
  <si>
    <t>Risk (Points)</t>
  </si>
  <si>
    <t>Net $ (1 Contract)</t>
  </si>
  <si>
    <t>Win/Loss</t>
  </si>
  <si>
    <t>2026-02-27 09:31:16</t>
  </si>
  <si>
    <t>F18</t>
  </si>
  <si>
    <t>Sell</t>
  </si>
  <si>
    <t>2026-03-02 08:54:48</t>
  </si>
  <si>
    <t>F19</t>
  </si>
  <si>
    <t>2026-03-05 13:52:01</t>
  </si>
  <si>
    <t>F20</t>
  </si>
  <si>
    <t>Buy</t>
  </si>
  <si>
    <t>2026-03-06 08:29:04</t>
  </si>
  <si>
    <t>F21</t>
  </si>
  <si>
    <t>2026-03-09 08:35:20</t>
  </si>
  <si>
    <t>F22</t>
  </si>
  <si>
    <t>2026-03-09 09:01:47</t>
  </si>
  <si>
    <t>F23</t>
  </si>
  <si>
    <t>2026-03-09 13:37:38</t>
  </si>
  <si>
    <t>F24</t>
  </si>
  <si>
    <t>F25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</si>
</sst>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pane ySplit="1" topLeftCell="A2" activePane="bottomLeft" state="frozen"/>
      <selection pane="bottomLeft" activeCell="I9" sqref="I9"/>
    </sheetView>
  </sheetViews>
  <sheetFormatPr defaultRowHeight="14.5" x14ac:dyDescent="0.35"/>
  <cols>
    <col min="1" max="1" width="20" customWidth="1"/>
    <col min="2" max="3" width="10" customWidth="1"/>
    <col min="4" max="5" width="12" customWidth="1"/>
    <col min="6" max="6" width="22" customWidth="1"/>
    <col min="7" max="7" width="10" customWidth="1"/>
    <col min="8" max="8" width="12" customWidth="1"/>
    <col min="9" max="9" width="16" customWidth="1"/>
    <col min="10" max="10" width="1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6870</v>
      </c>
      <c r="E2">
        <v>6881</v>
      </c>
      <c r="F2">
        <v>6851</v>
      </c>
      <c r="G2">
        <v>-11</v>
      </c>
      <c r="H2">
        <f t="shared" ref="H2:H8" si="0">IF(E2="",10,IF(C2="Buy",D2-E2,IF(C2="Sell",E2-D2,"")))</f>
        <v>11</v>
      </c>
      <c r="I2">
        <f t="shared" ref="I2:I9" si="1">IF(G2="","",G2*50)</f>
        <v>-550</v>
      </c>
      <c r="J2" t="str">
        <f t="shared" ref="J2:J9" si="2">IF(G2&gt;0,"Win",IF(G2&lt;0,"Loss",""))</f>
        <v>Loss</v>
      </c>
    </row>
    <row r="3" spans="1:10" x14ac:dyDescent="0.35">
      <c r="A3" t="s">
        <v>13</v>
      </c>
      <c r="B3" t="s">
        <v>14</v>
      </c>
      <c r="C3" t="s">
        <v>12</v>
      </c>
      <c r="D3">
        <v>6849</v>
      </c>
      <c r="E3">
        <v>6861</v>
      </c>
      <c r="G3">
        <v>-12</v>
      </c>
      <c r="H3">
        <f t="shared" si="0"/>
        <v>12</v>
      </c>
      <c r="I3">
        <f t="shared" si="1"/>
        <v>-600</v>
      </c>
      <c r="J3" t="str">
        <f t="shared" si="2"/>
        <v>Loss</v>
      </c>
    </row>
    <row r="4" spans="1:10" x14ac:dyDescent="0.35">
      <c r="A4" t="s">
        <v>15</v>
      </c>
      <c r="B4" t="s">
        <v>16</v>
      </c>
      <c r="C4" t="s">
        <v>17</v>
      </c>
      <c r="D4">
        <v>6893</v>
      </c>
      <c r="E4">
        <v>679</v>
      </c>
      <c r="G4">
        <v>10</v>
      </c>
      <c r="H4">
        <f t="shared" si="0"/>
        <v>6214</v>
      </c>
      <c r="I4">
        <f t="shared" si="1"/>
        <v>500</v>
      </c>
      <c r="J4" t="str">
        <f t="shared" si="2"/>
        <v>Win</v>
      </c>
    </row>
    <row r="5" spans="1:10" x14ac:dyDescent="0.35">
      <c r="A5" t="s">
        <v>18</v>
      </c>
      <c r="B5" t="s">
        <v>19</v>
      </c>
      <c r="C5" t="s">
        <v>12</v>
      </c>
      <c r="D5">
        <v>6751</v>
      </c>
      <c r="G5">
        <v>10</v>
      </c>
      <c r="H5">
        <f t="shared" si="0"/>
        <v>10</v>
      </c>
      <c r="I5">
        <f t="shared" si="1"/>
        <v>500</v>
      </c>
      <c r="J5" t="str">
        <f t="shared" si="2"/>
        <v>Win</v>
      </c>
    </row>
    <row r="6" spans="1:10" x14ac:dyDescent="0.35">
      <c r="A6" t="s">
        <v>20</v>
      </c>
      <c r="B6" t="s">
        <v>21</v>
      </c>
      <c r="C6" t="s">
        <v>17</v>
      </c>
      <c r="D6">
        <v>6779</v>
      </c>
      <c r="G6">
        <v>3</v>
      </c>
      <c r="H6">
        <f t="shared" si="0"/>
        <v>10</v>
      </c>
      <c r="I6">
        <f t="shared" si="1"/>
        <v>150</v>
      </c>
      <c r="J6" t="str">
        <f t="shared" si="2"/>
        <v>Win</v>
      </c>
    </row>
    <row r="7" spans="1:10" x14ac:dyDescent="0.35">
      <c r="A7" t="s">
        <v>22</v>
      </c>
      <c r="B7" t="s">
        <v>23</v>
      </c>
      <c r="C7" t="s">
        <v>17</v>
      </c>
      <c r="D7">
        <v>6659</v>
      </c>
      <c r="G7">
        <v>10</v>
      </c>
      <c r="H7">
        <f t="shared" si="0"/>
        <v>10</v>
      </c>
      <c r="I7">
        <f t="shared" si="1"/>
        <v>500</v>
      </c>
      <c r="J7" t="str">
        <f t="shared" si="2"/>
        <v>Win</v>
      </c>
    </row>
    <row r="8" spans="1:10" x14ac:dyDescent="0.35">
      <c r="A8" t="s">
        <v>24</v>
      </c>
      <c r="B8" t="s">
        <v>25</v>
      </c>
      <c r="C8" t="s">
        <v>12</v>
      </c>
      <c r="D8">
        <v>6729</v>
      </c>
      <c r="E8">
        <v>6732.5</v>
      </c>
      <c r="G8">
        <v>6</v>
      </c>
      <c r="H8">
        <f t="shared" si="0"/>
        <v>3.5</v>
      </c>
      <c r="I8">
        <f t="shared" si="1"/>
        <v>300</v>
      </c>
      <c r="J8" t="str">
        <f t="shared" si="2"/>
        <v>Win</v>
      </c>
    </row>
    <row r="9" spans="1:10" x14ac:dyDescent="0.35">
      <c r="A9" s="2">
        <v>46091.567800925928</v>
      </c>
      <c r="B9" t="s">
        <v>26</v>
      </c>
      <c r="C9" t="s">
        <v>12</v>
      </c>
      <c r="D9">
        <v>6841</v>
      </c>
      <c r="E9">
        <v>5851</v>
      </c>
      <c r="G9">
        <v>4.5</v>
      </c>
      <c r="H9">
        <v>10</v>
      </c>
      <c r="I9">
        <f t="shared" si="1"/>
        <v>225</v>
      </c>
      <c r="J9" t="str">
        <f t="shared" si="2"/>
        <v>Win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hiren desai</cp:lastModifiedBy>
  <dcterms:created xsi:type="dcterms:W3CDTF">2026-03-10T17:30:36Z</dcterms:created>
  <dcterms:modified xsi:type="dcterms:W3CDTF">2026-03-10T18:08:52Z</dcterms:modified>
</cp:coreProperties>
</file>